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a11\Desktop\HEALTHCARE _PROJECTS\"/>
    </mc:Choice>
  </mc:AlternateContent>
  <xr:revisionPtr revIDLastSave="0" documentId="13_ncr:1_{9159ECD8-E46C-49EE-A016-9C0829F5D42A}" xr6:coauthVersionLast="47" xr6:coauthVersionMax="47" xr10:uidLastSave="{00000000-0000-0000-0000-000000000000}"/>
  <bookViews>
    <workbookView xWindow="-108" yWindow="-108" windowWidth="23256" windowHeight="12456" activeTab="2" xr2:uid="{7D9A79FA-A2FB-4FE3-BC49-F17A1357A83C}"/>
  </bookViews>
  <sheets>
    <sheet name="diagnosis_chart" sheetId="2" r:id="rId1"/>
    <sheet name="revenue_chart" sheetId="3" r:id="rId2"/>
    <sheet name="workflow_chart" sheetId="4" r:id="rId3"/>
    <sheet name="dataset" sheetId="1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<sst xmlns="http://schemas.openxmlformats.org/spreadsheetml/2006/main" count="92" uniqueCount="49">
  <si>
    <t>encounter_id</t>
  </si>
  <si>
    <t>patient_id</t>
  </si>
  <si>
    <t>age</t>
  </si>
  <si>
    <t>gender</t>
  </si>
  <si>
    <t>visit_date</t>
  </si>
  <si>
    <t>icd10_code</t>
  </si>
  <si>
    <t>cpt_code</t>
  </si>
  <si>
    <t>insurance_type</t>
  </si>
  <si>
    <t>charge</t>
  </si>
  <si>
    <t>payment</t>
  </si>
  <si>
    <t>status</t>
  </si>
  <si>
    <t>E001</t>
  </si>
  <si>
    <t>P001</t>
  </si>
  <si>
    <t>F</t>
  </si>
  <si>
    <t>E11.9</t>
  </si>
  <si>
    <t>Private</t>
  </si>
  <si>
    <t>Completed</t>
  </si>
  <si>
    <t>E002</t>
  </si>
  <si>
    <t>P002</t>
  </si>
  <si>
    <t>M</t>
  </si>
  <si>
    <t>I10</t>
  </si>
  <si>
    <t>Medicaid</t>
  </si>
  <si>
    <t>E003</t>
  </si>
  <si>
    <t>E004</t>
  </si>
  <si>
    <t>P003</t>
  </si>
  <si>
    <t>J45.9</t>
  </si>
  <si>
    <t>Medicare</t>
  </si>
  <si>
    <t>Pending</t>
  </si>
  <si>
    <t>E005</t>
  </si>
  <si>
    <t>P004</t>
  </si>
  <si>
    <t>E78.5</t>
  </si>
  <si>
    <t>E006</t>
  </si>
  <si>
    <t>P005</t>
  </si>
  <si>
    <t>E007</t>
  </si>
  <si>
    <t>P006</t>
  </si>
  <si>
    <t>R10.2</t>
  </si>
  <si>
    <t>E008</t>
  </si>
  <si>
    <t>P007</t>
  </si>
  <si>
    <t>N92.0</t>
  </si>
  <si>
    <t>E009</t>
  </si>
  <si>
    <t>P008</t>
  </si>
  <si>
    <t>R14.0</t>
  </si>
  <si>
    <t>E010</t>
  </si>
  <si>
    <t>P009</t>
  </si>
  <si>
    <t>Row Labels</t>
  </si>
  <si>
    <t>Grand Total</t>
  </si>
  <si>
    <t>Count of icd10_code</t>
  </si>
  <si>
    <t>Sum of payment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</si>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</sst>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[healthcare_analysis.xlsx]diagnosis_chart!PivotTable1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Most Common Diagnoses (ICD-10)</a:t>
            </a:r>
            <a:endParaRPr lang="en-US"/>
          </a:p>
        </c:rich>
      </c:tx>
      <c:layout>
        <c:manualLayout>
          <c:xMode val="edge"/>
          <c:yMode val="edge"/>
          <c:x val="0.29436111111111113"/>
          <c:y val="0.1286089238845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diagnosis_chart!$B$3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diagnosis_chart!$A$4:$A$11</c:f>
              <c:strCache>
                <c:ptCount val="7"/>
                <c:pt idx="0">
                  <c:v>I10</c:v>
                </c:pt>
                <c:pt idx="1">
                  <c:v>E11.9</c:v>
                </c:pt>
                <c:pt idx="2">
                  <c:v>E78.5</c:v>
                </c:pt>
                <c:pt idx="3">
                  <c:v>R10.2</c:v>
                </c:pt>
                <c:pt idx="4">
                  <c:v>R14.0</c:v>
                </c:pt>
                <c:pt idx="5">
                  <c:v>N92.0</c:v>
                </c:pt>
                <c:pt idx="6">
                  <c:v>J45.9</c:v>
                </c:pt>
              </c:strCache>
            </c:strRef>
          </c:cat>
          <c:val>
            <c:numRef>
              <c:f>diagnosis_chart!$B$4:$B$11</c:f>
              <c:numCache>
                <c:formatCode>General</c:formatCode>
                <c:ptCount val="7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D-421F-81B1-E22E9F0996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1306992"/>
        <c:axId val="1141300272"/>
      </c:barChart>
      <c:catAx>
        <c:axId val="114130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300272"/>
        <c:crosses val="autoZero"/>
        <c:auto val="1"/>
        <c:lblAlgn val="ctr"/>
        <c:lblOffset val="100"/>
        <c:noMultiLvlLbl val="0"/>
      </c:catAx>
      <c:valAx>
        <c:axId val="114130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30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[healthcare_analysis.xlsx]revenue_chart!PivotTable2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INSURANCE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revenue_chart!$B$3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revenue_chart!$A$4:$A$7</c:f>
              <c:strCache>
                <c:ptCount val="3"/>
                <c:pt idx="0">
                  <c:v>Private</c:v>
                </c:pt>
                <c:pt idx="1">
                  <c:v>Medicare</c:v>
                </c:pt>
                <c:pt idx="2">
                  <c:v>Medicaid</c:v>
                </c:pt>
              </c:strCache>
            </c:strRef>
          </c:cat>
          <c:val>
            <c:numRef>
              <c:f>revenue_chart!$B$4:$B$7</c:f>
              <c:numCache>
                <c:formatCode>General</c:formatCode>
                <c:ptCount val="3"/>
                <c:pt idx="0">
                  <c:v>490</c:v>
                </c:pt>
                <c:pt idx="1">
                  <c:v>365</c:v>
                </c:pt>
                <c:pt idx="2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B-4070-83CC-8890A8D52C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1269552"/>
        <c:axId val="1141273392"/>
      </c:barChart>
      <c:catAx>
        <c:axId val="114126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273392"/>
        <c:crosses val="autoZero"/>
        <c:auto val="1"/>
        <c:lblAlgn val="ctr"/>
        <c:lblOffset val="100"/>
        <c:noMultiLvlLbl val="0"/>
      </c:catAx>
      <c:valAx>
        <c:axId val="114127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26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[healthcare_analysis.xlsx]workflow_chart!PivotTable3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WORKFLOW EFFICIENCY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workflow_chart!$B$3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98-4BE9-B91E-2C16B29461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98-4BE9-B91E-2C16B29461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workflow_chart!$A$4:$A$6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workflow_chart!$B$4:$B$6</c:f>
              <c:numCache>
                <c:formatCode>General</c:formatCode>
                <c:ptCount val="2"/>
                <c:pt idx="0">
                  <c:v>7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5-4A59-8FE9-ADF13F39678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556260</xdr:colOff>
      <xdr:row>0</xdr:row>
      <xdr:rowOff>160020</xdr:rowOff>
    </xdr:from>
    <xdr:to>
      <xdr:col>12</xdr:col>
      <xdr:colOff>251460</xdr:colOff>
      <xdr:row>15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C5226A-E4CA-062A-DE29-F995140FE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274320</xdr:colOff>
      <xdr:row>0</xdr:row>
      <xdr:rowOff>175260</xdr:rowOff>
    </xdr:from>
    <xdr:to>
      <xdr:col>12</xdr:col>
      <xdr:colOff>579120</xdr:colOff>
      <xdr:row>15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0A2AD2-F5BB-AF93-0519-4CD4CA9F77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434340</xdr:colOff>
      <xdr:row>2</xdr:row>
      <xdr:rowOff>7620</xdr:rowOff>
    </xdr:from>
    <xdr:to>
      <xdr:col>12</xdr:col>
      <xdr:colOff>129540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0B7BFC-0C32-9969-A6F1-FDFFE11C77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itas Mukulasi" refreshedDate="46130.268867129627" createdVersion="8" refreshedVersion="8" minRefreshableVersion="3" recordCount="10" xr:uid="{5A878973-CD7D-43CB-8C90-1AC027ACB305}">
  <cacheSource type="worksheet">
    <worksheetSource name="Table1"/>
  </cacheSource>
  <cacheFields count="11">
    <cacheField name="encounter_id" numFmtId="0">
      <sharedItems/>
    </cacheField>
    <cacheField name="patient_id" numFmtId="0">
      <sharedItems/>
    </cacheField>
    <cacheField name="age" numFmtId="0">
      <sharedItems containsSemiMixedTypes="0" containsString="0" containsNumber="1" containsInteger="1" minValue="28" maxValue="65"/>
    </cacheField>
    <cacheField name="gender" numFmtId="0">
      <sharedItems/>
    </cacheField>
    <cacheField name="visit_date" numFmtId="14">
      <sharedItems containsSemiMixedTypes="0" containsNonDate="0" containsDate="1" containsString="0" minDate="2026-01-10T00:00:00" maxDate="2026-02-21T00:00:00"/>
    </cacheField>
    <cacheField name="icd10_code" numFmtId="0">
      <sharedItems count="7">
        <s v="E11.9"/>
        <s v="I10"/>
        <s v="J45.9"/>
        <s v="E78.5"/>
        <s v="R10.2"/>
        <s v="N92.0"/>
        <s v="R14.0"/>
      </sharedItems>
    </cacheField>
    <cacheField name="cpt_code" numFmtId="0">
      <sharedItems containsSemiMixedTypes="0" containsString="0" containsNumber="1" containsInteger="1" minValue="80053" maxValue="94010" count="6">
        <n v="80053"/>
        <n v="93000"/>
        <n v="94010"/>
        <n v="80061"/>
        <n v="81002"/>
        <n v="85025"/>
      </sharedItems>
    </cacheField>
    <cacheField name="insurance_type" numFmtId="0">
      <sharedItems count="3">
        <s v="Private"/>
        <s v="Medicaid"/>
        <s v="Medicare"/>
      </sharedItems>
    </cacheField>
    <cacheField name="charge" numFmtId="0">
      <sharedItems containsSemiMixedTypes="0" containsString="0" containsNumber="1" containsInteger="1" minValue="90" maxValue="160"/>
    </cacheField>
    <cacheField name="payment" numFmtId="0">
      <sharedItems containsSemiMixedTypes="0" containsString="0" containsNumber="1" containsInteger="1" minValue="80" maxValue="130"/>
    </cacheField>
    <cacheField name="status" numFmtId="0">
      <sharedItems count="2">
        <s v="Completed"/>
        <s v="Pend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E001"/>
    <s v="P001"/>
    <n v="45"/>
    <s v="F"/>
    <d v="2026-01-10T00:00:00"/>
    <x v="0"/>
    <x v="0"/>
    <x v="0"/>
    <n v="120"/>
    <n v="100"/>
    <x v="0"/>
  </r>
  <r>
    <s v="E002"/>
    <s v="P002"/>
    <n v="60"/>
    <s v="M"/>
    <d v="2026-01-11T00:00:00"/>
    <x v="1"/>
    <x v="1"/>
    <x v="1"/>
    <n v="150"/>
    <n v="90"/>
    <x v="0"/>
  </r>
  <r>
    <s v="E003"/>
    <s v="P001"/>
    <n v="45"/>
    <s v="F"/>
    <d v="2026-02-01T00:00:00"/>
    <x v="0"/>
    <x v="0"/>
    <x v="0"/>
    <n v="130"/>
    <n v="110"/>
    <x v="0"/>
  </r>
  <r>
    <s v="E004"/>
    <s v="P003"/>
    <n v="30"/>
    <s v="F"/>
    <d v="2026-02-03T00:00:00"/>
    <x v="2"/>
    <x v="2"/>
    <x v="2"/>
    <n v="140"/>
    <n v="120"/>
    <x v="1"/>
  </r>
  <r>
    <s v="E005"/>
    <s v="P004"/>
    <n v="50"/>
    <s v="M"/>
    <d v="2026-02-05T00:00:00"/>
    <x v="3"/>
    <x v="3"/>
    <x v="0"/>
    <n v="110"/>
    <n v="95"/>
    <x v="0"/>
  </r>
  <r>
    <s v="E006"/>
    <s v="P005"/>
    <n v="55"/>
    <s v="F"/>
    <d v="2026-02-10T00:00:00"/>
    <x v="1"/>
    <x v="1"/>
    <x v="1"/>
    <n v="155"/>
    <n v="100"/>
    <x v="1"/>
  </r>
  <r>
    <s v="E007"/>
    <s v="P006"/>
    <n v="40"/>
    <s v="M"/>
    <d v="2026-02-12T00:00:00"/>
    <x v="4"/>
    <x v="4"/>
    <x v="0"/>
    <n v="90"/>
    <n v="80"/>
    <x v="0"/>
  </r>
  <r>
    <s v="E008"/>
    <s v="P007"/>
    <n v="35"/>
    <s v="F"/>
    <d v="2026-02-15T00:00:00"/>
    <x v="5"/>
    <x v="5"/>
    <x v="2"/>
    <n v="135"/>
    <n v="115"/>
    <x v="0"/>
  </r>
  <r>
    <s v="E009"/>
    <s v="P008"/>
    <n v="28"/>
    <s v="F"/>
    <d v="2026-02-18T00:00:00"/>
    <x v="6"/>
    <x v="0"/>
    <x v="0"/>
    <n v="125"/>
    <n v="105"/>
    <x v="1"/>
  </r>
  <r>
    <s v="E010"/>
    <s v="P009"/>
    <n v="65"/>
    <s v="M"/>
    <d v="2026-02-20T00:00:00"/>
    <x v="1"/>
    <x v="1"/>
    <x v="2"/>
    <n v="160"/>
    <n v="13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38096-DEA7-4978-951C-22FE7D6F720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11">
    <pivotField showAll="0"/>
    <pivotField showAll="0"/>
    <pivotField showAll="0"/>
    <pivotField showAll="0"/>
    <pivotField numFmtId="14" showAll="0"/>
    <pivotField axis="axisRow" dataField="1" showAll="0" sortType="descending">
      <items count="8">
        <item x="6"/>
        <item x="4"/>
        <item x="5"/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0"/>
        <item x="3"/>
        <item x="4"/>
        <item x="5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5"/>
  </rowFields>
  <rowItems count="8">
    <i>
      <x v="4"/>
    </i>
    <i>
      <x v="6"/>
    </i>
    <i>
      <x v="5"/>
    </i>
    <i>
      <x v="1"/>
    </i>
    <i>
      <x/>
    </i>
    <i>
      <x v="2"/>
    </i>
    <i>
      <x v="3"/>
    </i>
    <i t="grand">
      <x/>
    </i>
  </rowItems>
  <colItems count="1">
    <i/>
  </colItems>
  <dataFields count="1">
    <dataField name="Count of icd10_code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94E7AA-AA49-40BB-A50A-3DAABA27824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1">
    <pivotField showAll="0"/>
    <pivotField showAll="0"/>
    <pivotField showAll="0"/>
    <pivotField showAll="0"/>
    <pivotField numFmtId="14" showAll="0"/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7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payment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01016-47A7-4D78-9E11-6DB1393B700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11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status" fld="10" subtotal="count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2E4A6-5474-4C98-B4B9-1FB95CA1E5CA}" name="Table1" displayName="Table1" ref="A1:K11" totalsRowShown="0">
  <autoFilter ref="A1:K11" xr:uid="{71B2E4A6-5474-4C98-B4B9-1FB95CA1E5CA}"/>
  <tableColumns count="11">
    <tableColumn id="1" xr3:uid="{9038F5F9-298D-4C1A-9421-2CE02C0A0109}" name="encounter_id"/>
    <tableColumn id="2" xr3:uid="{918C626C-BA29-4C04-BD0B-B777DCF7B0D5}" name="patient_id"/>
    <tableColumn id="3" xr3:uid="{1439BA8E-D40B-40CA-9BD0-D37B99B59983}" name="age"/>
    <tableColumn id="4" xr3:uid="{CE4F40B0-B12D-45B7-AEF8-F8CCE96FD44E}" name="gender"/>
    <tableColumn id="5" xr3:uid="{BCF0DE60-5F70-4477-8D1E-EAB57F9ED779}" name="visit_date" dataDxfId="0"/>
    <tableColumn id="6" xr3:uid="{7AC8F2D2-2F99-43B7-A085-9136B3100E90}" name="icd10_code"/>
    <tableColumn id="7" xr3:uid="{E2C0B5D8-A865-49E9-A345-A78A136F20F5}" name="cpt_code"/>
    <tableColumn id="8" xr3:uid="{C604EAA2-D661-40D0-8FE3-D3CFAE30B7C9}" name="insurance_type"/>
    <tableColumn id="9" xr3:uid="{CAEDE881-4B1D-45DC-926A-8F66A29FEB5B}" name="charge"/>
    <tableColumn id="10" xr3:uid="{CCE037D9-C62D-497B-835E-D86A397DA8B6}" name="payment"/>
    <tableColumn id="11" xr3:uid="{7BEE8449-E944-4AF4-92FE-BC190618B0C4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3F331-F38B-4A07-B6B5-B92CD5848121}">
  <dimension ref="A2:B11"/>
  <sheetViews>
    <sheetView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18.5546875" bestFit="1" customWidth="1"/>
  </cols>
  <sheetData>
    <row r="2" spans="1:2" ht="13.2" customHeight="1" x14ac:dyDescent="0.3"/>
    <row r="3" spans="1:2" x14ac:dyDescent="0.3">
      <c r="A3" s="3" t="s">
        <v>44</v>
      </c>
      <c r="B3" t="s">
        <v>46</v>
      </c>
    </row>
    <row r="4" spans="1:2" x14ac:dyDescent="0.3">
      <c r="A4" s="4" t="s">
        <v>20</v>
      </c>
      <c r="B4">
        <v>3</v>
      </c>
    </row>
    <row r="5" spans="1:2" x14ac:dyDescent="0.3">
      <c r="A5" s="4" t="s">
        <v>14</v>
      </c>
      <c r="B5">
        <v>2</v>
      </c>
    </row>
    <row r="6" spans="1:2" x14ac:dyDescent="0.3">
      <c r="A6" s="4" t="s">
        <v>30</v>
      </c>
      <c r="B6">
        <v>1</v>
      </c>
    </row>
    <row r="7" spans="1:2" x14ac:dyDescent="0.3">
      <c r="A7" s="4" t="s">
        <v>35</v>
      </c>
      <c r="B7">
        <v>1</v>
      </c>
    </row>
    <row r="8" spans="1:2" x14ac:dyDescent="0.3">
      <c r="A8" s="4" t="s">
        <v>41</v>
      </c>
      <c r="B8">
        <v>1</v>
      </c>
    </row>
    <row r="9" spans="1:2" x14ac:dyDescent="0.3">
      <c r="A9" s="4" t="s">
        <v>38</v>
      </c>
      <c r="B9">
        <v>1</v>
      </c>
    </row>
    <row r="10" spans="1:2" x14ac:dyDescent="0.3">
      <c r="A10" s="4" t="s">
        <v>25</v>
      </c>
      <c r="B10">
        <v>1</v>
      </c>
    </row>
    <row r="11" spans="1:2" x14ac:dyDescent="0.3">
      <c r="A11" s="4" t="s">
        <v>45</v>
      </c>
      <c r="B11">
        <v>10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A5FCA-1DF7-4D3E-8CB9-4FC284D1B449}">
  <dimension ref="A3:B7"/>
  <sheetViews>
    <sheetView workbookViewId="0">
      <selection activeCell="N14" sqref="N14"/>
    </sheetView>
  </sheetViews>
  <sheetFormatPr defaultRowHeight="14.4" x14ac:dyDescent="0.3"/>
  <cols>
    <col min="1" max="1" width="12.5546875" bestFit="1" customWidth="1"/>
    <col min="2" max="2" width="15.109375" bestFit="1" customWidth="1"/>
  </cols>
  <sheetData>
    <row r="3" spans="1:2" x14ac:dyDescent="0.3">
      <c r="A3" s="3" t="s">
        <v>44</v>
      </c>
      <c r="B3" t="s">
        <v>47</v>
      </c>
    </row>
    <row r="4" spans="1:2" x14ac:dyDescent="0.3">
      <c r="A4" s="4" t="s">
        <v>15</v>
      </c>
      <c r="B4">
        <v>490</v>
      </c>
    </row>
    <row r="5" spans="1:2" x14ac:dyDescent="0.3">
      <c r="A5" s="4" t="s">
        <v>26</v>
      </c>
      <c r="B5">
        <v>365</v>
      </c>
    </row>
    <row r="6" spans="1:2" x14ac:dyDescent="0.3">
      <c r="A6" s="4" t="s">
        <v>21</v>
      </c>
      <c r="B6">
        <v>190</v>
      </c>
    </row>
    <row r="7" spans="1:2" x14ac:dyDescent="0.3">
      <c r="A7" s="4" t="s">
        <v>45</v>
      </c>
      <c r="B7">
        <v>1045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C581-18BC-484C-9EBE-E6EE09BB63DA}">
  <dimension ref="A3:B6"/>
  <sheetViews>
    <sheetView tabSelected="1"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3.88671875" bestFit="1" customWidth="1"/>
  </cols>
  <sheetData>
    <row r="3" spans="1:2" x14ac:dyDescent="0.3">
      <c r="A3" s="3" t="s">
        <v>44</v>
      </c>
      <c r="B3" t="s">
        <v>48</v>
      </c>
    </row>
    <row r="4" spans="1:2" x14ac:dyDescent="0.3">
      <c r="A4" s="4" t="s">
        <v>16</v>
      </c>
      <c r="B4">
        <v>7</v>
      </c>
    </row>
    <row r="5" spans="1:2" x14ac:dyDescent="0.3">
      <c r="A5" s="4" t="s">
        <v>27</v>
      </c>
      <c r="B5">
        <v>3</v>
      </c>
    </row>
    <row r="6" spans="1:2" x14ac:dyDescent="0.3">
      <c r="A6" s="4" t="s">
        <v>45</v>
      </c>
      <c r="B6">
        <v>10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9316B-CC97-4CC7-A77A-C2A360589920}">
  <dimension ref="A1:K11"/>
  <sheetViews>
    <sheetView workbookViewId="0">
      <selection activeCell="I16" sqref="I16"/>
    </sheetView>
  </sheetViews>
  <sheetFormatPr defaultRowHeight="14.4" x14ac:dyDescent="0.3"/>
  <cols>
    <col min="1" max="1" width="14.109375" customWidth="1"/>
    <col min="2" max="2" width="11.88671875" customWidth="1"/>
    <col min="3" max="3" width="10.21875" customWidth="1"/>
    <col min="4" max="4" width="11" customWidth="1"/>
    <col min="5" max="5" width="17.6640625" customWidth="1"/>
    <col min="6" max="6" width="12.44140625" customWidth="1"/>
    <col min="7" max="7" width="12" customWidth="1"/>
    <col min="8" max="8" width="15.77734375" customWidth="1"/>
    <col min="9" max="9" width="11.6640625" customWidth="1"/>
    <col min="10" max="10" width="12" customWidth="1"/>
    <col min="11" max="11" width="11.44140625" customWidth="1"/>
  </cols>
  <sheetData>
    <row r="1" spans="1:11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45</v>
      </c>
      <c r="D2" t="s">
        <v>13</v>
      </c>
      <c r="E2" s="2">
        <v>46032</v>
      </c>
      <c r="F2" t="s">
        <v>14</v>
      </c>
      <c r="G2">
        <v>80053</v>
      </c>
      <c r="H2" t="s">
        <v>15</v>
      </c>
      <c r="I2">
        <v>120</v>
      </c>
      <c r="J2">
        <v>100</v>
      </c>
      <c r="K2" t="s">
        <v>16</v>
      </c>
    </row>
    <row r="3" spans="1:11" x14ac:dyDescent="0.3">
      <c r="A3" t="s">
        <v>17</v>
      </c>
      <c r="B3" t="s">
        <v>18</v>
      </c>
      <c r="C3">
        <v>60</v>
      </c>
      <c r="D3" t="s">
        <v>19</v>
      </c>
      <c r="E3" s="2">
        <v>46033</v>
      </c>
      <c r="F3" t="s">
        <v>20</v>
      </c>
      <c r="G3">
        <v>93000</v>
      </c>
      <c r="H3" t="s">
        <v>21</v>
      </c>
      <c r="I3">
        <v>150</v>
      </c>
      <c r="J3">
        <v>90</v>
      </c>
      <c r="K3" t="s">
        <v>16</v>
      </c>
    </row>
    <row r="4" spans="1:11" x14ac:dyDescent="0.3">
      <c r="A4" t="s">
        <v>22</v>
      </c>
      <c r="B4" t="s">
        <v>12</v>
      </c>
      <c r="C4">
        <v>45</v>
      </c>
      <c r="D4" t="s">
        <v>13</v>
      </c>
      <c r="E4" s="2">
        <v>46054</v>
      </c>
      <c r="F4" t="s">
        <v>14</v>
      </c>
      <c r="G4">
        <v>80053</v>
      </c>
      <c r="H4" t="s">
        <v>15</v>
      </c>
      <c r="I4">
        <v>130</v>
      </c>
      <c r="J4">
        <v>110</v>
      </c>
      <c r="K4" t="s">
        <v>16</v>
      </c>
    </row>
    <row r="5" spans="1:11" x14ac:dyDescent="0.3">
      <c r="A5" t="s">
        <v>23</v>
      </c>
      <c r="B5" t="s">
        <v>24</v>
      </c>
      <c r="C5">
        <v>30</v>
      </c>
      <c r="D5" t="s">
        <v>13</v>
      </c>
      <c r="E5" s="2">
        <v>46056</v>
      </c>
      <c r="F5" t="s">
        <v>25</v>
      </c>
      <c r="G5">
        <v>94010</v>
      </c>
      <c r="H5" t="s">
        <v>26</v>
      </c>
      <c r="I5">
        <v>140</v>
      </c>
      <c r="J5">
        <v>120</v>
      </c>
      <c r="K5" t="s">
        <v>27</v>
      </c>
    </row>
    <row r="6" spans="1:11" x14ac:dyDescent="0.3">
      <c r="A6" t="s">
        <v>28</v>
      </c>
      <c r="B6" t="s">
        <v>29</v>
      </c>
      <c r="C6">
        <v>50</v>
      </c>
      <c r="D6" t="s">
        <v>19</v>
      </c>
      <c r="E6" s="2">
        <v>46058</v>
      </c>
      <c r="F6" t="s">
        <v>30</v>
      </c>
      <c r="G6">
        <v>80061</v>
      </c>
      <c r="H6" t="s">
        <v>15</v>
      </c>
      <c r="I6">
        <v>110</v>
      </c>
      <c r="J6">
        <v>95</v>
      </c>
      <c r="K6" t="s">
        <v>16</v>
      </c>
    </row>
    <row r="7" spans="1:11" x14ac:dyDescent="0.3">
      <c r="A7" t="s">
        <v>31</v>
      </c>
      <c r="B7" t="s">
        <v>32</v>
      </c>
      <c r="C7">
        <v>55</v>
      </c>
      <c r="D7" t="s">
        <v>13</v>
      </c>
      <c r="E7" s="2">
        <v>46063</v>
      </c>
      <c r="F7" t="s">
        <v>20</v>
      </c>
      <c r="G7">
        <v>93000</v>
      </c>
      <c r="H7" t="s">
        <v>21</v>
      </c>
      <c r="I7">
        <v>155</v>
      </c>
      <c r="J7">
        <v>100</v>
      </c>
      <c r="K7" t="s">
        <v>27</v>
      </c>
    </row>
    <row r="8" spans="1:11" x14ac:dyDescent="0.3">
      <c r="A8" t="s">
        <v>33</v>
      </c>
      <c r="B8" t="s">
        <v>34</v>
      </c>
      <c r="C8">
        <v>40</v>
      </c>
      <c r="D8" t="s">
        <v>19</v>
      </c>
      <c r="E8" s="2">
        <v>46065</v>
      </c>
      <c r="F8" t="s">
        <v>35</v>
      </c>
      <c r="G8">
        <v>81002</v>
      </c>
      <c r="H8" t="s">
        <v>15</v>
      </c>
      <c r="I8">
        <v>90</v>
      </c>
      <c r="J8">
        <v>80</v>
      </c>
      <c r="K8" t="s">
        <v>16</v>
      </c>
    </row>
    <row r="9" spans="1:11" x14ac:dyDescent="0.3">
      <c r="A9" t="s">
        <v>36</v>
      </c>
      <c r="B9" t="s">
        <v>37</v>
      </c>
      <c r="C9">
        <v>35</v>
      </c>
      <c r="D9" t="s">
        <v>13</v>
      </c>
      <c r="E9" s="2">
        <v>46068</v>
      </c>
      <c r="F9" t="s">
        <v>38</v>
      </c>
      <c r="G9">
        <v>85025</v>
      </c>
      <c r="H9" t="s">
        <v>26</v>
      </c>
      <c r="I9">
        <v>135</v>
      </c>
      <c r="J9">
        <v>115</v>
      </c>
      <c r="K9" t="s">
        <v>16</v>
      </c>
    </row>
    <row r="10" spans="1:11" x14ac:dyDescent="0.3">
      <c r="A10" t="s">
        <v>39</v>
      </c>
      <c r="B10" t="s">
        <v>40</v>
      </c>
      <c r="C10">
        <v>28</v>
      </c>
      <c r="D10" t="s">
        <v>13</v>
      </c>
      <c r="E10" s="2">
        <v>46071</v>
      </c>
      <c r="F10" t="s">
        <v>41</v>
      </c>
      <c r="G10">
        <v>80053</v>
      </c>
      <c r="H10" t="s">
        <v>15</v>
      </c>
      <c r="I10">
        <v>125</v>
      </c>
      <c r="J10">
        <v>105</v>
      </c>
      <c r="K10" t="s">
        <v>27</v>
      </c>
    </row>
    <row r="11" spans="1:11" x14ac:dyDescent="0.3">
      <c r="A11" t="s">
        <v>42</v>
      </c>
      <c r="B11" t="s">
        <v>43</v>
      </c>
      <c r="C11">
        <v>65</v>
      </c>
      <c r="D11" t="s">
        <v>19</v>
      </c>
      <c r="E11" s="2">
        <v>46073</v>
      </c>
      <c r="F11" t="s">
        <v>20</v>
      </c>
      <c r="G11">
        <v>93000</v>
      </c>
      <c r="H11" t="s">
        <v>26</v>
      </c>
      <c r="I11">
        <v>160</v>
      </c>
      <c r="J11">
        <v>130</v>
      </c>
      <c r="K11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diagnosis_chart</vt:lpstr>
      <vt:lpstr>revenue_chart</vt:lpstr>
      <vt:lpstr>workflow_chart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carie love</dc:creator>
  <cp:lastModifiedBy>carie love</cp:lastModifiedBy>
  <dcterms:created xsi:type="dcterms:W3CDTF">2026-04-18T10:55:03Z</dcterms:created>
  <dcterms:modified xsi:type="dcterms:W3CDTF">2026-04-20T14:18:57Z</dcterms:modified>
</cp:coreProperties>
</file>